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ONTOS\m\excel\"/>
    </mc:Choice>
  </mc:AlternateContent>
  <xr:revisionPtr revIDLastSave="0" documentId="13_ncr:1_{C273A630-1D63-45E6-938E-3F9DC6D5A9A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G3" i="1"/>
  <c r="G4" i="1"/>
  <c r="G5" i="1"/>
  <c r="G6" i="1"/>
  <c r="G7" i="1"/>
  <c r="G2" i="1"/>
  <c r="K7" i="1"/>
  <c r="K6" i="1"/>
  <c r="K5" i="1"/>
  <c r="K4" i="1"/>
  <c r="K3" i="1"/>
  <c r="K2" i="1"/>
  <c r="F3" i="1"/>
  <c r="F4" i="1"/>
  <c r="F5" i="1"/>
  <c r="F6" i="1"/>
  <c r="F7" i="1"/>
  <c r="F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<sst xmlns="http://schemas.openxmlformats.org/spreadsheetml/2006/main" count="35" uniqueCount="35">
  <si>
    <t>Termék</t>
  </si>
  <si>
    <t>Ár (Ft)</t>
  </si>
  <si>
    <t>Raktáron (db)</t>
  </si>
  <si>
    <t>Eladott (db)</t>
  </si>
  <si>
    <t>LEGO autó</t>
  </si>
  <si>
    <t>Barbie baba</t>
  </si>
  <si>
    <t>Társasjáték</t>
  </si>
  <si>
    <t>Plüss maci</t>
  </si>
  <si>
    <t>Puzzle</t>
  </si>
  <si>
    <t>Távirányítós autó</t>
  </si>
  <si>
    <t>1. feladat – Darabszám</t>
  </si>
  <si>
    <t>Feladatok</t>
  </si>
  <si>
    <r>
      <t xml:space="preserve">Számold meg, </t>
    </r>
    <r>
      <rPr>
        <b/>
        <sz val="11"/>
        <color theme="1"/>
        <rFont val="Calibri"/>
        <family val="2"/>
        <scheme val="minor"/>
      </rPr>
      <t>hány termék van a listában</t>
    </r>
    <r>
      <rPr>
        <sz val="11"/>
        <color theme="1"/>
        <rFont val="Calibri"/>
        <family val="2"/>
        <scheme val="minor"/>
      </rPr>
      <t>.</t>
    </r>
  </si>
  <si>
    <t>Leírás</t>
  </si>
  <si>
    <t>Eredmény</t>
  </si>
  <si>
    <t>2. feladat – Legdrágább és legolcsóbb termék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</si>
  <si>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legolcsóbb</t>
    </r>
    <r>
      <rPr>
        <sz val="11"/>
        <color theme="1"/>
        <rFont val="Calibri"/>
        <family val="2"/>
        <scheme val="minor"/>
      </rPr>
      <t xml:space="preserve"> termék árát</t>
    </r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</si>
  <si>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legdrágább</t>
    </r>
    <r>
      <rPr>
        <sz val="11"/>
        <color theme="1"/>
        <rFont val="Calibri"/>
        <family val="2"/>
        <scheme val="minor"/>
      </rPr>
      <t xml:space="preserve"> termék árát</t>
    </r>
  </si>
  <si>
    <t>3. feladat – Átlagár</t>
  </si>
  <si>
    <r>
      <t xml:space="preserve">Számold ki az összes termék </t>
    </r>
    <r>
      <rPr>
        <b/>
        <sz val="11"/>
        <color theme="1"/>
        <rFont val="Calibri"/>
        <family val="2"/>
        <scheme val="minor"/>
      </rPr>
      <t>átlagárát</t>
    </r>
    <r>
      <rPr>
        <sz val="11"/>
        <color theme="1"/>
        <rFont val="Calibri"/>
        <family val="2"/>
        <scheme val="minor"/>
      </rPr>
      <t>.</t>
    </r>
  </si>
  <si>
    <t>5. feladat – Összes raktárérték</t>
  </si>
  <si>
    <r>
      <t xml:space="preserve">Számold ki, hogy </t>
    </r>
    <r>
      <rPr>
        <b/>
        <sz val="11"/>
        <color theme="1"/>
        <rFont val="Calibri"/>
        <family val="2"/>
        <scheme val="minor"/>
      </rPr>
      <t>mennyi pénzt ér az összes raktáron lévő játék</t>
    </r>
    <r>
      <rPr>
        <sz val="11"/>
        <color theme="1"/>
        <rFont val="Calibri"/>
        <family val="2"/>
        <scheme val="minor"/>
      </rPr>
      <t>.</t>
    </r>
  </si>
  <si>
    <t>6. feladat – Bevétel számítása</t>
  </si>
  <si>
    <t>Számold ki, hogy mennyi a bevétele a boltnak.</t>
  </si>
  <si>
    <t>7. feladat – Raktáron maradt mennyiség</t>
  </si>
  <si>
    <t>8. feladat – HA függvény</t>
  </si>
  <si>
    <t>Van-e elég árú a raktáron?</t>
  </si>
  <si>
    <t>Ha 10-nél kevesebb van  akkor az Kevés, különben Rendben</t>
  </si>
  <si>
    <t>9. feladat – DARABTELI</t>
  </si>
  <si>
    <t>Számold meg: hány termékből kevés van raktáron.</t>
  </si>
  <si>
    <t>10. feladat – Véletlen rendelés</t>
  </si>
  <si>
    <t>Generálj véletlen rendelési mennyiséget 5 és 20 között.</t>
  </si>
  <si>
    <t>Raktáron lévő összérték</t>
  </si>
  <si>
    <t>Bevétel árunként</t>
  </si>
  <si>
    <t>8.feladat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</si>
</sst>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Normal="100" workbookViewId="0">
      <selection activeCell="K13" sqref="K13"/>
    </sheetView>
  </sheetViews>
  <sheetFormatPr defaultRowHeight="14.6" x14ac:dyDescent="0.4"/>
  <cols>
    <col min="1" max="1" width="19" customWidth="1"/>
    <col min="5" max="5" width="13" customWidth="1"/>
    <col min="6" max="6" width="14.61328125" customWidth="1"/>
    <col min="9" max="9" width="38.3046875" bestFit="1" customWidth="1"/>
    <col min="10" max="10" width="53.69140625" bestFit="1" customWidth="1"/>
    <col min="11" max="11" width="14" customWidth="1"/>
  </cols>
  <sheetData>
    <row r="1" spans="1:11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34</v>
      </c>
      <c r="I1" t="s">
        <v>11</v>
      </c>
      <c r="J1" t="s">
        <v>13</v>
      </c>
      <c r="K1" t="s">
        <v>14</v>
      </c>
    </row>
    <row r="2" spans="1:11" x14ac:dyDescent="0.4">
      <c r="A2" s="2" t="s">
        <v>4</v>
      </c>
      <c r="B2" s="2">
        <v>4500</v>
      </c>
      <c r="C2" s="2">
        <v>25</v>
      </c>
      <c r="D2" s="2">
        <v>10</v>
      </c>
      <c r="E2">
        <f>B2*C2</f>
        <v>112500</v>
      </c>
      <c r="F2">
        <f>B2*D2</f>
        <v>45000</v>
      </c>
      <c r="G2" t="str">
        <f>IF(C2&gt;10,"Rendben","Kevés")</f>
        <v>Rendben</v>
      </c>
      <c r="I2" t="s">
        <v>10</v>
      </c>
      <c r="J2" t="s">
        <v>12</v>
      </c>
      <c r="K2">
        <f>COUNTA(A2:A7)</f>
        <v>6</v>
      </c>
    </row>
    <row r="3" spans="1:11" x14ac:dyDescent="0.4">
      <c r="A3" s="2" t="s">
        <v>5</v>
      </c>
      <c r="B3" s="2">
        <v>6200</v>
      </c>
      <c r="C3" s="2">
        <v>18</v>
      </c>
      <c r="D3" s="2">
        <v>7</v>
      </c>
      <c r="E3">
        <f t="shared" ref="E3:E7" si="0">B3*C3</f>
        <v>111600</v>
      </c>
      <c r="F3">
        <f t="shared" ref="F3:F7" si="1">B3*D3</f>
        <v>43400</v>
      </c>
      <c r="G3" t="str">
        <f t="shared" ref="G3:G7" si="2">IF(C3&gt;10,"Rendben","Kevés")</f>
        <v>Rendben</v>
      </c>
      <c r="I3" s="3" t="s">
        <v>15</v>
      </c>
      <c r="J3" t="s">
        <v>16</v>
      </c>
      <c r="K3">
        <f>MIN(B2:B7)</f>
        <v>2500</v>
      </c>
    </row>
    <row r="4" spans="1:11" x14ac:dyDescent="0.4">
      <c r="A4" s="2" t="s">
        <v>6</v>
      </c>
      <c r="B4" s="2">
        <v>3900</v>
      </c>
      <c r="C4" s="2">
        <v>30</v>
      </c>
      <c r="D4" s="2">
        <v>15</v>
      </c>
      <c r="E4">
        <f t="shared" si="0"/>
        <v>117000</v>
      </c>
      <c r="F4">
        <f t="shared" si="1"/>
        <v>58500</v>
      </c>
      <c r="G4" t="str">
        <f t="shared" si="2"/>
        <v>Rendben</v>
      </c>
      <c r="I4" s="3"/>
      <c r="J4" t="s">
        <v>17</v>
      </c>
      <c r="K4">
        <f>MAX(B2:B7)</f>
        <v>8500</v>
      </c>
    </row>
    <row r="5" spans="1:11" x14ac:dyDescent="0.4">
      <c r="A5" s="2" t="s">
        <v>7</v>
      </c>
      <c r="B5" s="2">
        <v>2800</v>
      </c>
      <c r="C5" s="2">
        <v>40</v>
      </c>
      <c r="D5" s="2">
        <v>12</v>
      </c>
      <c r="E5">
        <f t="shared" si="0"/>
        <v>112000</v>
      </c>
      <c r="F5">
        <f t="shared" si="1"/>
        <v>33600</v>
      </c>
      <c r="G5" t="str">
        <f t="shared" si="2"/>
        <v>Rendben</v>
      </c>
      <c r="I5" t="s">
        <v>18</v>
      </c>
      <c r="J5" t="s">
        <v>19</v>
      </c>
      <c r="K5">
        <f>AVERAGE(B2:B7)</f>
        <v>4733.333333333333</v>
      </c>
    </row>
    <row r="6" spans="1:11" x14ac:dyDescent="0.4">
      <c r="A6" s="2" t="s">
        <v>8</v>
      </c>
      <c r="B6" s="2">
        <v>2500</v>
      </c>
      <c r="C6" s="2">
        <v>35</v>
      </c>
      <c r="D6" s="2">
        <v>20</v>
      </c>
      <c r="E6">
        <f t="shared" si="0"/>
        <v>87500</v>
      </c>
      <c r="F6">
        <f t="shared" si="1"/>
        <v>50000</v>
      </c>
      <c r="G6" t="str">
        <f t="shared" si="2"/>
        <v>Rendben</v>
      </c>
      <c r="I6" t="s">
        <v>20</v>
      </c>
      <c r="J6" t="s">
        <v>21</v>
      </c>
      <c r="K6">
        <f>SUM(E2:E7)</f>
        <v>557600</v>
      </c>
    </row>
    <row r="7" spans="1:11" x14ac:dyDescent="0.4">
      <c r="A7" s="2" t="s">
        <v>9</v>
      </c>
      <c r="B7" s="2">
        <v>8500</v>
      </c>
      <c r="C7" s="2">
        <v>2</v>
      </c>
      <c r="D7" s="2">
        <v>5</v>
      </c>
      <c r="E7">
        <f t="shared" si="0"/>
        <v>17000</v>
      </c>
      <c r="F7">
        <f t="shared" si="1"/>
        <v>42500</v>
      </c>
      <c r="G7" t="str">
        <f t="shared" si="2"/>
        <v>Kevés</v>
      </c>
      <c r="I7" t="s">
        <v>22</v>
      </c>
      <c r="J7" t="s">
        <v>23</v>
      </c>
      <c r="K7">
        <f>SUM(F2:F7)</f>
        <v>273000</v>
      </c>
    </row>
    <row r="8" spans="1:11" x14ac:dyDescent="0.4">
      <c r="I8" t="s">
        <v>24</v>
      </c>
    </row>
    <row r="9" spans="1:11" x14ac:dyDescent="0.4">
      <c r="I9" t="s">
        <v>25</v>
      </c>
      <c r="J9" t="s">
        <v>26</v>
      </c>
    </row>
    <row r="10" spans="1:11" x14ac:dyDescent="0.4">
      <c r="J10" t="s">
        <v>27</v>
      </c>
    </row>
    <row r="11" spans="1:11" x14ac:dyDescent="0.4">
      <c r="I11" t="s">
        <v>28</v>
      </c>
      <c r="J11" t="s">
        <v>29</v>
      </c>
      <c r="K11">
        <f>COUNTIF(G2:G7,"Kevés")</f>
        <v>1</v>
      </c>
    </row>
    <row r="12" spans="1:11" x14ac:dyDescent="0.4">
      <c r="I12" t="s">
        <v>30</v>
      </c>
      <c r="J12" t="s">
        <v>31</v>
      </c>
      <c r="K12">
        <f ca="1">RANDBETWEEN(5,20)</f>
        <v>8</v>
      </c>
    </row>
  </sheetData>
  <mergeCells count="1"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DMaja</dc:creator>
  <cp:lastModifiedBy>Dreilinger Vanessza Maja</cp:lastModifiedBy>
  <dcterms:created xsi:type="dcterms:W3CDTF">2015-06-05T18:17:20Z</dcterms:created>
  <dcterms:modified xsi:type="dcterms:W3CDTF">2026-03-17T20:38:39Z</dcterms:modified>
</cp:coreProperties>
</file>